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jesa\Documents\a_Main\University\Undergrad\Capstone\CardioPath\requirements\"/>
    </mc:Choice>
  </mc:AlternateContent>
  <xr:revisionPtr revIDLastSave="0" documentId="13_ncr:1_{3B545E9D-56A4-41A3-97CE-42D200F8BA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etings" sheetId="2" r:id="rId1"/>
    <sheet name="Stakeholders" sheetId="5" r:id="rId2"/>
    <sheet name="User stories" sheetId="4" r:id="rId3"/>
    <sheet name="Goals" sheetId="3" r:id="rId4"/>
    <sheet name="Requirements" sheetId="1" r:id="rId5"/>
    <sheet name="Requirement sub-types" sheetId="7" r:id="rId6"/>
  </sheets>
  <definedNames>
    <definedName name="Goal_ID">Goals!$A$2</definedName>
    <definedName name="Meeting_ID">Meetings!$A$2:$A$3</definedName>
    <definedName name="Requirement_Confidence">'Requirement sub-types'!#REF!</definedName>
    <definedName name="Requirement_Confidence_Value">'Requirement sub-types'!#REF!</definedName>
    <definedName name="Requirement_Priority">'Requirement sub-types'!#REF!</definedName>
    <definedName name="Requirement_Priority_Value">'Requirement sub-types'!#REF!</definedName>
    <definedName name="Requirement_Source">'Requirement sub-types'!$C$2:$C$9</definedName>
    <definedName name="Requirement_Status">'Requirement sub-types'!$D$2:$D$9</definedName>
    <definedName name="Requirement_Type">'Requirement sub-types'!$A$2:$A$9</definedName>
    <definedName name="Requirement_Type_Prefix">'Requirement sub-types'!$B$2:$B$9</definedName>
    <definedName name="Stakeholder">'User stories'!$C$2</definedName>
    <definedName name="User_Story_ID">'User stories'!$A$2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B3" i="1"/>
  <c r="A2" i="3"/>
  <c r="A2" i="2"/>
  <c r="A3" i="2"/>
  <c r="B2" i="2"/>
  <c r="B2" i="1"/>
  <c r="B2" i="3"/>
  <c r="A2" i="4"/>
  <c r="B2" i="4"/>
  <c r="B3" i="2"/>
</calcChain>
</file>

<file path=xl/sharedStrings.xml><?xml version="1.0" encoding="utf-8"?>
<sst xmlns="http://schemas.openxmlformats.org/spreadsheetml/2006/main" count="83" uniqueCount="61">
  <si>
    <t>Type</t>
  </si>
  <si>
    <t>Number</t>
  </si>
  <si>
    <t>Requirement</t>
  </si>
  <si>
    <t>Source</t>
  </si>
  <si>
    <t>Priority</t>
  </si>
  <si>
    <t>Confidence</t>
  </si>
  <si>
    <t>Source meeting</t>
  </si>
  <si>
    <t>Goal</t>
  </si>
  <si>
    <t>User story</t>
  </si>
  <si>
    <t>Name</t>
  </si>
  <si>
    <t>Date</t>
  </si>
  <si>
    <t>Description</t>
  </si>
  <si>
    <t>Stakeholder</t>
  </si>
  <si>
    <t>Initial client meeting</t>
  </si>
  <si>
    <t>19/01/2026</t>
  </si>
  <si>
    <t>Initial client meeting with Dr. Amyot, and Capital Cardiology owners to discuss a potential project and get some initial requirements</t>
  </si>
  <si>
    <t>Requirements elicitation meeting</t>
  </si>
  <si>
    <t>28/01/2026</t>
  </si>
  <si>
    <t>First requirements elicitation meeting</t>
  </si>
  <si>
    <t>Lina Alkasm</t>
  </si>
  <si>
    <t>US-1</t>
  </si>
  <si>
    <t>User Story ID</t>
  </si>
  <si>
    <t>Meeting ID</t>
  </si>
  <si>
    <t>Goal ID</t>
  </si>
  <si>
    <t>Requirement ID</t>
  </si>
  <si>
    <t>Non-functional (security)</t>
  </si>
  <si>
    <t>Functional</t>
  </si>
  <si>
    <t>Internal</t>
  </si>
  <si>
    <t>Requirement Type</t>
  </si>
  <si>
    <t>Requirement Source</t>
  </si>
  <si>
    <t>Meeting Name</t>
  </si>
  <si>
    <t>Requirement Type Prefix</t>
  </si>
  <si>
    <t>FR-</t>
  </si>
  <si>
    <t>NFR-SEC-</t>
  </si>
  <si>
    <t>…</t>
  </si>
  <si>
    <t>Status</t>
  </si>
  <si>
    <t>Requirement Status</t>
  </si>
  <si>
    <t>Draft</t>
  </si>
  <si>
    <t>Approved</t>
  </si>
  <si>
    <t>In progress</t>
  </si>
  <si>
    <t>Implemented</t>
  </si>
  <si>
    <t>Verified</t>
  </si>
  <si>
    <t>Canceled</t>
  </si>
  <si>
    <t>M-1</t>
  </si>
  <si>
    <t>M-2</t>
  </si>
  <si>
    <t>Non-functional (accessibility)</t>
  </si>
  <si>
    <t>Non-functional (usability)</t>
  </si>
  <si>
    <t>Non-functional (performance)</t>
  </si>
  <si>
    <t>Non-functional (availability)</t>
  </si>
  <si>
    <t>NFR-USA-</t>
  </si>
  <si>
    <t>NFR-PER-</t>
  </si>
  <si>
    <t>NFR-AVA-</t>
  </si>
  <si>
    <t>Dr. Timothy Lethbridge</t>
  </si>
  <si>
    <t>Dr. Nassoh Hafez</t>
  </si>
  <si>
    <t>Non-functional (maintainability)</t>
  </si>
  <si>
    <t>Non-functional (portability)</t>
  </si>
  <si>
    <t>NFR-MNT-</t>
  </si>
  <si>
    <t>NFR-PRT-</t>
  </si>
  <si>
    <t>NFR-ACS-</t>
  </si>
  <si>
    <t>Capital Cardiology</t>
  </si>
  <si>
    <t>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</si>
</sst>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1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/>
    </xf>
  </cellXfs>
  <cellStyles count="1">
    <cellStyle name="Normal" xfId="0" builtinId="0"/>
  </cellStyles>
  <dxfs count="32">
    <dxf>
      <numFmt numFmtId="0" formatCode="General"/>
      <alignment horizontal="general" vertical="center" textRotation="0" indent="0" justifyLastLine="0" shrinkToFit="0" readingOrder="0"/>
    </dxf>
    <dxf>
      <numFmt numFmtId="1" formatCode="0"/>
      <alignment horizontal="general" vertical="center" textRotation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E048C-FC80-4068-9C56-FF8A5727FAA7}" name="tbl_meetings" displayName="tbl_meetings" ref="A1:E3" totalsRowShown="0">
  <autoFilter ref="A1:E3" xr:uid="{938E048C-FC80-4068-9C56-FF8A5727FAA7}"/>
  <tableColumns count="5">
    <tableColumn id="1" xr3:uid="{349DC041-CB24-43DB-AE86-8BB5BFD78C10}" name="Meeting ID" dataDxfId="20">
      <calculatedColumnFormula>_xlfn.CONCAT("M-", tbl_meetings[[#This Row],[Number]])</calculatedColumnFormula>
    </tableColumn>
    <tableColumn id="5" xr3:uid="{9E54CA88-2913-4E0E-9AF9-9AE84A13E43D}" name="Number" dataDxfId="19">
      <calculatedColumnFormula>ROW()-1</calculatedColumnFormula>
    </tableColumn>
    <tableColumn id="2" xr3:uid="{32837A90-51EE-461B-811E-86DD0A02FAA9}" name="Meeting Name" dataDxfId="18"/>
    <tableColumn id="3" xr3:uid="{0CE8B4E3-D44B-4389-B848-0F60F32A8E9F}" name="Date" dataDxfId="17"/>
    <tableColumn id="4" xr3:uid="{7D043601-810E-48E7-BE67-348AB646A5CC}" name="Description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EFB36-AE12-467C-9B63-D966BDEA37EA}" name="tbl_stakeholders" displayName="tbl_stakeholders" ref="A1:B2" totalsRowShown="0" dataDxfId="15">
  <autoFilter ref="A1:B2" xr:uid="{8B1EFB36-AE12-467C-9B63-D966BDEA37EA}"/>
  <tableColumns count="2">
    <tableColumn id="1" xr3:uid="{DCF08018-60B6-464E-B126-74506F7ABF83}" name="Name" dataDxfId="14"/>
    <tableColumn id="2" xr3:uid="{5659381B-F87E-4F83-9848-E3FDB6D94A92}" name="Description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9CBA4E-47F4-4413-B137-FD6D62E8F7B9}" name="tbl_userStories" displayName="tbl_userStories" ref="A1:D2" totalsRowShown="0" headerRowDxfId="12">
  <autoFilter ref="A1:D2" xr:uid="{829CBA4E-47F4-4413-B137-FD6D62E8F7B9}"/>
  <tableColumns count="4">
    <tableColumn id="1" xr3:uid="{A8069F82-A74F-41BF-92F0-79BE83FA2790}" name="User Story ID" dataDxfId="11">
      <calculatedColumnFormula>_xlfn.CONCAT("US-", tbl_userStories[[#This Row],[Number]])</calculatedColumnFormula>
    </tableColumn>
    <tableColumn id="4" xr3:uid="{E397E720-D293-4A43-A8A4-3799697DF5CF}" name="Number" dataDxfId="10">
      <calculatedColumnFormula>ROW()-1</calculatedColumnFormula>
    </tableColumn>
    <tableColumn id="2" xr3:uid="{8BF2D8DE-4A04-430D-B237-97F614FF0BBD}" name="Stakeholder" dataDxfId="9"/>
    <tableColumn id="3" xr3:uid="{4AD63A30-A29C-4421-8108-1C0D1275FE40}" name="User story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CC669B-9F30-4ED1-B9AE-712DC4AFC556}" name="tbl_goals" displayName="tbl_goals" ref="A1:E2" totalsRowShown="0" headerRowDxfId="7">
  <autoFilter ref="A1:E2" xr:uid="{00CC669B-9F30-4ED1-B9AE-712DC4AFC556}"/>
  <tableColumns count="5">
    <tableColumn id="1" xr3:uid="{AEFFC84E-475A-4A38-A17D-4DDA8E9788F8}" name="Goal ID" dataDxfId="6">
      <calculatedColumnFormula>_xlfn.CONCAT("G-", tbl_goals[[#This Row],[Number]])</calculatedColumnFormula>
    </tableColumn>
    <tableColumn id="2" xr3:uid="{E135FDC3-243D-4003-9637-5D14182904B4}" name="Number" dataDxfId="5">
      <calculatedColumnFormula>ROW()-1</calculatedColumnFormula>
    </tableColumn>
    <tableColumn id="3" xr3:uid="{6DBE99E4-CF13-45C6-9972-A973D2E5BBEA}" name="Stakeholder" dataDxfId="4"/>
    <tableColumn id="4" xr3:uid="{3E224ABB-B068-467B-B201-6CFFD21006EC}" name="User story" dataDxfId="3"/>
    <tableColumn id="5" xr3:uid="{433595B3-2DDD-415B-BC82-0205B4466827}" name="Goal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9A23CF-D199-49D4-8F4B-351CA4E2A4F7}" name="tbl_requirements" displayName="tbl_requirements" ref="A1:L3" totalsRowShown="0" dataDxfId="31">
  <autoFilter ref="A1:L3" xr:uid="{9A9A23CF-D199-49D4-8F4B-351CA4E2A4F7}"/>
  <tableColumns count="12">
    <tableColumn id="1" xr3:uid="{B4859D29-85D8-411A-9A00-1F74E933E1AA}" name="Requirement ID" dataDxfId="0">
      <calculatedColumnFormula>_xlfn.CONCAT(_xlfn.XLOOKUP(tbl_requirements[[#This Row],[Type]],Requirement_Type,Requirement_Type_Prefix),tbl_requirements[[#This Row],[Number]])</calculatedColumnFormula>
    </tableColumn>
    <tableColumn id="2" xr3:uid="{D94E3C08-8925-4BAD-80B2-454F1A6EFFB9}" name="Number" dataDxfId="1">
      <calculatedColumnFormula>ROW()-1</calculatedColumnFormula>
    </tableColumn>
    <tableColumn id="3" xr3:uid="{B73ED483-D794-4A52-AD1E-84D5F07E47DD}" name="Type" dataDxfId="30"/>
    <tableColumn id="4" xr3:uid="{CD304707-D1BE-4F9A-B4D7-56A9B2D5DC25}" name="Requirement" dataDxfId="29"/>
    <tableColumn id="5" xr3:uid="{61F3A9D2-E57A-491E-A9F2-929FF6697C0F}" name="Source" dataDxfId="28"/>
    <tableColumn id="6" xr3:uid="{8C0310BA-807D-44D5-A647-E93CF55EC01F}" name="Priority" dataDxfId="27"/>
    <tableColumn id="7" xr3:uid="{59F8EAF5-22A7-48D4-B9CA-E6C4831F3AE5}" name="Confidence" dataDxfId="26"/>
    <tableColumn id="14" xr3:uid="{A5A50C9C-56F9-4C5E-A948-0310150D3AC7}" name="Status" dataDxfId="25"/>
    <tableColumn id="8" xr3:uid="{7A37BF0E-0B30-4DE7-827D-E3BCDDD0DB37}" name="Source meeting" dataDxfId="24"/>
    <tableColumn id="9" xr3:uid="{8E4DF058-D621-49D1-8D7E-E66C69C47B6D}" name="Stakeholder" dataDxfId="23"/>
    <tableColumn id="10" xr3:uid="{ED06B391-E7A1-4C1C-9F5B-73E969408FB2}" name="User story" dataDxfId="22"/>
    <tableColumn id="11" xr3:uid="{1B508EAD-5A79-4FDE-9669-BEC7665DA7AC}" name="Goal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762731-4209-453C-A645-20508A138E49}" name="tbl_subtypes" displayName="tbl_subtypes" ref="A1:D9" totalsRowShown="0">
  <autoFilter ref="A1:D9" xr:uid="{07762731-4209-453C-A645-20508A138E49}"/>
  <tableColumns count="4">
    <tableColumn id="1" xr3:uid="{56693E3F-7974-41C1-9E09-7F22D4AAF868}" name="Requirement Type"/>
    <tableColumn id="2" xr3:uid="{A9D45FAD-853E-4422-986F-D01F54DA9C85}" name="Requirement Type Prefix"/>
    <tableColumn id="3" xr3:uid="{AFDE8A11-6D4E-428E-949E-03EBBB84EB16}" name="Requirement Source"/>
    <tableColumn id="8" xr3:uid="{261C4739-3CBD-4D64-A961-F34021D0D35B}" name="Require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9A59-76F2-4206-BBAE-5461D56C8D6B}">
  <dimension ref="A1:E3"/>
  <sheetViews>
    <sheetView tabSelected="1" workbookViewId="0">
      <selection activeCell="P14" sqref="P14"/>
    </sheetView>
  </sheetViews>
  <sheetFormatPr defaultRowHeight="15" x14ac:dyDescent="0.25"/>
  <cols>
    <col min="1" max="1" width="15.5703125" customWidth="1"/>
    <col min="2" max="2" width="12.5703125" customWidth="1"/>
    <col min="3" max="3" width="37.85546875" customWidth="1"/>
    <col min="4" max="4" width="18.28515625" customWidth="1"/>
    <col min="5" max="5" width="48.28515625" customWidth="1"/>
  </cols>
  <sheetData>
    <row r="1" spans="1:5" x14ac:dyDescent="0.25">
      <c r="A1" t="s">
        <v>22</v>
      </c>
      <c r="B1" t="s">
        <v>1</v>
      </c>
      <c r="C1" t="s">
        <v>30</v>
      </c>
      <c r="D1" t="s">
        <v>10</v>
      </c>
      <c r="E1" t="s">
        <v>11</v>
      </c>
    </row>
    <row r="2" spans="1:5" ht="48.75" customHeight="1" x14ac:dyDescent="0.25">
      <c r="A2" s="5" t="str">
        <f>_xlfn.CONCAT("M-", tbl_meetings[[#This Row],[Number]])</f>
        <v>M-1</v>
      </c>
      <c r="B2" s="5">
        <f>ROW()-1</f>
        <v>1</v>
      </c>
      <c r="C2" s="6" t="s">
        <v>13</v>
      </c>
      <c r="D2" s="7" t="s">
        <v>14</v>
      </c>
      <c r="E2" s="4" t="s">
        <v>15</v>
      </c>
    </row>
    <row r="3" spans="1:5" ht="15" customHeight="1" x14ac:dyDescent="0.25">
      <c r="A3" s="5" t="str">
        <f>_xlfn.CONCAT("M-", tbl_meetings[[#This Row],[Number]])</f>
        <v>M-2</v>
      </c>
      <c r="B3" s="5">
        <f>ROW()-1</f>
        <v>2</v>
      </c>
      <c r="C3" s="6" t="s">
        <v>16</v>
      </c>
      <c r="D3" s="7" t="s">
        <v>17</v>
      </c>
      <c r="E3" s="4" t="s">
        <v>18</v>
      </c>
    </row>
  </sheetData>
  <dataValidations count="1">
    <dataValidation type="whole" operator="equal" allowBlank="1" showInputMessage="1" showErrorMessage="1" sqref="B2:B3" xr:uid="{514C4AE8-9FC9-467C-B36B-29DE377F0FE5}">
      <formula1>ROW()-1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04D8-0C1A-41D1-A277-FC4B665C8D05}">
  <dimension ref="A1:B2"/>
  <sheetViews>
    <sheetView workbookViewId="0">
      <selection activeCell="C25" sqref="C25"/>
    </sheetView>
  </sheetViews>
  <sheetFormatPr defaultRowHeight="15" x14ac:dyDescent="0.25"/>
  <cols>
    <col min="1" max="1" width="27" customWidth="1"/>
    <col min="2" max="2" width="39.28515625" customWidth="1"/>
  </cols>
  <sheetData>
    <row r="1" spans="1:2" x14ac:dyDescent="0.25">
      <c r="A1" t="s">
        <v>9</v>
      </c>
      <c r="B1" t="s">
        <v>11</v>
      </c>
    </row>
    <row r="2" spans="1:2" x14ac:dyDescent="0.25">
      <c r="A2" s="3" t="s">
        <v>59</v>
      </c>
      <c r="B2" s="3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B374-3D1D-4781-AEB3-15DBC36E931C}">
  <dimension ref="A1:D2"/>
  <sheetViews>
    <sheetView workbookViewId="0">
      <selection activeCell="G8" sqref="G8"/>
    </sheetView>
  </sheetViews>
  <sheetFormatPr defaultRowHeight="15" x14ac:dyDescent="0.25"/>
  <cols>
    <col min="1" max="1" width="28.42578125" style="3" customWidth="1"/>
    <col min="2" max="2" width="14.5703125" style="1" customWidth="1"/>
    <col min="3" max="3" width="34.7109375" style="3" customWidth="1"/>
    <col min="4" max="4" width="53.42578125" style="3" customWidth="1"/>
  </cols>
  <sheetData>
    <row r="1" spans="1:4" x14ac:dyDescent="0.25">
      <c r="A1" t="s">
        <v>21</v>
      </c>
      <c r="B1" t="s">
        <v>1</v>
      </c>
      <c r="C1" t="s">
        <v>12</v>
      </c>
      <c r="D1" t="s">
        <v>8</v>
      </c>
    </row>
    <row r="2" spans="1:4" x14ac:dyDescent="0.25">
      <c r="A2" s="6" t="str">
        <f>_xlfn.CONCAT("US-", tbl_userStories[[#This Row],[Number]])</f>
        <v>US-1</v>
      </c>
      <c r="B2" s="5">
        <f>ROW()-1</f>
        <v>1</v>
      </c>
      <c r="C2" s="6" t="s">
        <v>19</v>
      </c>
      <c r="D2" s="4" t="s">
        <v>34</v>
      </c>
    </row>
  </sheetData>
  <dataValidations count="2">
    <dataValidation type="list" allowBlank="1" showInputMessage="1" showErrorMessage="1" sqref="C2" xr:uid="{AF6C2121-3396-402D-92F3-F4223238CA5F}">
      <formula1>Stakeholder</formula1>
    </dataValidation>
    <dataValidation type="whole" operator="equal" allowBlank="1" showInputMessage="1" showErrorMessage="1" sqref="B2" xr:uid="{A0217333-8B6A-45CF-B08B-1B80A9FFACCA}">
      <formula1>ROW()-1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B6AF-EDA4-4E38-A8D5-896ECAA304F8}">
  <dimension ref="A1:E2"/>
  <sheetViews>
    <sheetView workbookViewId="0">
      <selection activeCell="E30" sqref="E30"/>
    </sheetView>
  </sheetViews>
  <sheetFormatPr defaultRowHeight="15" x14ac:dyDescent="0.25"/>
  <cols>
    <col min="1" max="1" width="30.42578125" style="3" customWidth="1"/>
    <col min="2" max="2" width="10.42578125" style="2" customWidth="1"/>
    <col min="3" max="3" width="13.85546875" style="3" customWidth="1"/>
    <col min="4" max="4" width="12.140625" style="3" customWidth="1"/>
    <col min="5" max="5" width="42.28515625" style="3" customWidth="1"/>
  </cols>
  <sheetData>
    <row r="1" spans="1:5" x14ac:dyDescent="0.25">
      <c r="A1" t="s">
        <v>23</v>
      </c>
      <c r="B1" t="s">
        <v>1</v>
      </c>
      <c r="C1" t="s">
        <v>12</v>
      </c>
      <c r="D1" t="s">
        <v>8</v>
      </c>
      <c r="E1" t="s">
        <v>7</v>
      </c>
    </row>
    <row r="2" spans="1:5" x14ac:dyDescent="0.25">
      <c r="A2" s="8" t="str">
        <f>_xlfn.CONCAT("G-", tbl_goals[[#This Row],[Number]])</f>
        <v>G-1</v>
      </c>
      <c r="B2" s="5">
        <f>ROW()-1</f>
        <v>1</v>
      </c>
      <c r="C2" s="6" t="s">
        <v>19</v>
      </c>
      <c r="D2" s="6" t="s">
        <v>20</v>
      </c>
      <c r="E2" s="4" t="s">
        <v>34</v>
      </c>
    </row>
  </sheetData>
  <dataValidations count="3">
    <dataValidation type="list" allowBlank="1" showInputMessage="1" showErrorMessage="1" errorTitle="Non-existant user story" error="User story does not exist" sqref="D2" xr:uid="{848657F4-9165-41EE-AA86-BAC0721110E5}">
      <formula1>User_Story_ID</formula1>
    </dataValidation>
    <dataValidation type="list" allowBlank="1" showInputMessage="1" showErrorMessage="1" errorTitle="Non-existant stakeholder" error="Stakeholder does not exist" sqref="C2" xr:uid="{9761C097-2CCD-43B8-BD7A-86C75F9C8D62}">
      <formula1>Stakeholder</formula1>
    </dataValidation>
    <dataValidation type="whole" operator="equal" allowBlank="1" showInputMessage="1" showErrorMessage="1" sqref="B2" xr:uid="{3F581D22-4825-45A6-8ED8-E0F67B168568}">
      <formula1>ROW()-1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D32" sqref="D32"/>
    </sheetView>
  </sheetViews>
  <sheetFormatPr defaultRowHeight="15" x14ac:dyDescent="0.25"/>
  <cols>
    <col min="1" max="1" width="32.5703125" customWidth="1"/>
    <col min="2" max="2" width="10.5703125" bestFit="1" customWidth="1"/>
    <col min="3" max="3" width="38.42578125" customWidth="1"/>
    <col min="4" max="4" width="58.42578125" customWidth="1"/>
    <col min="5" max="5" width="26.7109375" customWidth="1"/>
    <col min="6" max="6" width="19.140625" customWidth="1"/>
    <col min="7" max="7" width="17.28515625" bestFit="1" customWidth="1"/>
    <col min="8" max="8" width="24" customWidth="1"/>
    <col min="9" max="9" width="19.5703125" customWidth="1"/>
    <col min="10" max="10" width="14.85546875" customWidth="1"/>
    <col min="11" max="11" width="20.140625" customWidth="1"/>
    <col min="12" max="12" width="15.42578125" customWidth="1"/>
  </cols>
  <sheetData>
    <row r="1" spans="1:12" x14ac:dyDescent="0.25">
      <c r="A1" t="s">
        <v>24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35</v>
      </c>
      <c r="I1" t="s">
        <v>6</v>
      </c>
      <c r="J1" t="s">
        <v>12</v>
      </c>
      <c r="K1" t="s">
        <v>8</v>
      </c>
      <c r="L1" t="s">
        <v>7</v>
      </c>
    </row>
    <row r="2" spans="1:12" x14ac:dyDescent="0.25">
      <c r="A2" s="10" t="str">
        <f>_xlfn.CONCAT(_xlfn.XLOOKUP(tbl_requirements[[#This Row],[Type]],Requirement_Type,Requirement_Type_Prefix),tbl_requirements[[#This Row],[Number]])</f>
        <v>FR-1</v>
      </c>
      <c r="B2" s="5">
        <f>ROW()-1</f>
        <v>1</v>
      </c>
      <c r="C2" s="6" t="s">
        <v>26</v>
      </c>
      <c r="D2" s="9" t="s">
        <v>34</v>
      </c>
      <c r="E2" s="6" t="s">
        <v>27</v>
      </c>
      <c r="F2" s="5">
        <v>0</v>
      </c>
      <c r="G2" s="5">
        <v>1</v>
      </c>
      <c r="H2" s="6" t="s">
        <v>37</v>
      </c>
      <c r="I2" s="6" t="s">
        <v>43</v>
      </c>
      <c r="J2" s="6" t="s">
        <v>19</v>
      </c>
      <c r="K2" s="6"/>
      <c r="L2" s="6"/>
    </row>
    <row r="3" spans="1:12" x14ac:dyDescent="0.25">
      <c r="A3" s="10" t="str">
        <f>_xlfn.CONCAT(_xlfn.XLOOKUP(tbl_requirements[[#This Row],[Type]],Requirement_Type,Requirement_Type_Prefix),tbl_requirements[[#This Row],[Number]])</f>
        <v>NFR-PRT-2</v>
      </c>
      <c r="B3" s="5">
        <f>ROW()-1</f>
        <v>2</v>
      </c>
      <c r="C3" s="6" t="s">
        <v>55</v>
      </c>
      <c r="D3" s="9" t="s">
        <v>34</v>
      </c>
      <c r="E3" s="6" t="s">
        <v>53</v>
      </c>
      <c r="F3" s="5">
        <v>1</v>
      </c>
      <c r="G3" s="5">
        <v>0</v>
      </c>
      <c r="H3" s="6" t="s">
        <v>37</v>
      </c>
      <c r="I3" s="6" t="s">
        <v>44</v>
      </c>
      <c r="J3" s="6" t="s">
        <v>19</v>
      </c>
      <c r="K3" s="6"/>
      <c r="L3" s="6"/>
    </row>
  </sheetData>
  <conditionalFormatting sqref="F2:F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8">
    <dataValidation type="whole" operator="equal" allowBlank="1" showInputMessage="1" showErrorMessage="1" sqref="B2:B3" xr:uid="{D9F94960-B3CC-4A69-A5A5-971F31E133AD}">
      <formula1>ROW()-1</formula1>
    </dataValidation>
    <dataValidation type="list" showInputMessage="1" showErrorMessage="1" sqref="C2:C3" xr:uid="{991E30FB-5C99-46A8-AE4C-FF1AB5EC2708}">
      <formula1>Requirement_Type</formula1>
    </dataValidation>
    <dataValidation type="list" showInputMessage="1" showErrorMessage="1" sqref="E2:E3" xr:uid="{6A7CE0BF-AC3F-4FBA-BC79-679C64989041}">
      <formula1>Requirement_Source</formula1>
    </dataValidation>
    <dataValidation type="list" allowBlank="1" showInputMessage="1" showErrorMessage="1" sqref="I2:I3" xr:uid="{B7BAB412-4E2B-4E91-926B-2BC145EDEF75}">
      <formula1>Meeting_ID</formula1>
    </dataValidation>
    <dataValidation type="list" allowBlank="1" showInputMessage="1" showErrorMessage="1" sqref="J2:J3" xr:uid="{71888C47-FCF0-48A3-8C8E-50A54827D79C}">
      <formula1>Stakeholder</formula1>
    </dataValidation>
    <dataValidation type="list" allowBlank="1" showInputMessage="1" showErrorMessage="1" sqref="K2:K3" xr:uid="{A9CD3964-6118-42BE-912F-352368D02FAF}">
      <formula1>User_Story_ID</formula1>
    </dataValidation>
    <dataValidation type="list" allowBlank="1" showInputMessage="1" showErrorMessage="1" sqref="L2:L3" xr:uid="{75F45E97-3E47-4C23-8D28-B018D08FAED6}">
      <formula1>Goal_ID</formula1>
    </dataValidation>
    <dataValidation type="list" showInputMessage="1" showErrorMessage="1" sqref="H2:H3" xr:uid="{E5259B7B-2DFE-4E24-B20B-0D94C0DB6C29}">
      <formula1>Requirement_Status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BDFD-5A7F-438D-8767-24D0B55ABE56}">
  <dimension ref="A1:D9"/>
  <sheetViews>
    <sheetView workbookViewId="0">
      <selection activeCell="A2" sqref="A2"/>
    </sheetView>
  </sheetViews>
  <sheetFormatPr defaultRowHeight="15" x14ac:dyDescent="0.25"/>
  <cols>
    <col min="1" max="1" width="38.140625" customWidth="1"/>
    <col min="2" max="2" width="27" customWidth="1"/>
    <col min="3" max="3" width="22" customWidth="1"/>
    <col min="4" max="4" width="27.7109375" customWidth="1"/>
  </cols>
  <sheetData>
    <row r="1" spans="1:4" x14ac:dyDescent="0.25">
      <c r="A1" t="s">
        <v>28</v>
      </c>
      <c r="B1" t="s">
        <v>31</v>
      </c>
      <c r="C1" t="s">
        <v>29</v>
      </c>
      <c r="D1" t="s">
        <v>36</v>
      </c>
    </row>
    <row r="2" spans="1:4" x14ac:dyDescent="0.25">
      <c r="A2" t="s">
        <v>26</v>
      </c>
      <c r="B2" t="s">
        <v>32</v>
      </c>
      <c r="C2" t="s">
        <v>27</v>
      </c>
      <c r="D2" t="s">
        <v>37</v>
      </c>
    </row>
    <row r="3" spans="1:4" x14ac:dyDescent="0.25">
      <c r="A3" t="s">
        <v>25</v>
      </c>
      <c r="B3" t="s">
        <v>33</v>
      </c>
      <c r="C3" t="s">
        <v>19</v>
      </c>
      <c r="D3" t="s">
        <v>38</v>
      </c>
    </row>
    <row r="4" spans="1:4" x14ac:dyDescent="0.25">
      <c r="A4" t="s">
        <v>45</v>
      </c>
      <c r="B4" t="s">
        <v>58</v>
      </c>
      <c r="C4" t="s">
        <v>52</v>
      </c>
      <c r="D4" t="s">
        <v>39</v>
      </c>
    </row>
    <row r="5" spans="1:4" x14ac:dyDescent="0.25">
      <c r="A5" t="s">
        <v>46</v>
      </c>
      <c r="B5" t="s">
        <v>49</v>
      </c>
      <c r="C5" t="s">
        <v>53</v>
      </c>
      <c r="D5" t="s">
        <v>40</v>
      </c>
    </row>
    <row r="6" spans="1:4" x14ac:dyDescent="0.25">
      <c r="A6" t="s">
        <v>47</v>
      </c>
      <c r="B6" t="s">
        <v>50</v>
      </c>
      <c r="D6" t="s">
        <v>41</v>
      </c>
    </row>
    <row r="7" spans="1:4" x14ac:dyDescent="0.25">
      <c r="A7" t="s">
        <v>48</v>
      </c>
      <c r="B7" t="s">
        <v>51</v>
      </c>
      <c r="D7" t="s">
        <v>42</v>
      </c>
    </row>
    <row r="8" spans="1:4" x14ac:dyDescent="0.25">
      <c r="A8" t="s">
        <v>54</v>
      </c>
      <c r="B8" t="s">
        <v>56</v>
      </c>
    </row>
    <row r="9" spans="1:4" x14ac:dyDescent="0.25">
      <c r="A9" t="s">
        <v>55</v>
      </c>
      <c r="B9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Meetings</vt:lpstr>
      <vt:lpstr>Stakeholders</vt:lpstr>
      <vt:lpstr>User stories</vt:lpstr>
      <vt:lpstr>Goals</vt:lpstr>
      <vt:lpstr>Requirements</vt:lpstr>
      <vt:lpstr>Requirement sub-types</vt:lpstr>
      <vt:lpstr>Goal_ID</vt:lpstr>
      <vt:lpstr>Meeting_ID</vt:lpstr>
      <vt:lpstr>Requirement_Source</vt:lpstr>
      <vt:lpstr>Requirement_Status</vt:lpstr>
      <vt:lpstr>Requirement_Type</vt:lpstr>
      <vt:lpstr>Requirement_Type_Prefix</vt:lpstr>
      <vt:lpstr>Stakeholder</vt:lpstr>
      <vt:lpstr>User_Story_ID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Laurier Gascon</dc:creator>
  <cp:lastModifiedBy>Laurier Albert Gascon-Miller</cp:lastModifiedBy>
  <dcterms:created xsi:type="dcterms:W3CDTF">2015-06-05T18:17:20Z</dcterms:created>
  <dcterms:modified xsi:type="dcterms:W3CDTF">2026-02-01T19:10:49Z</dcterms:modified>
</cp:coreProperties>
</file>